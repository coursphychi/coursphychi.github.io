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 - Tableau final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<sst xmlns="http://schemas.openxmlformats.org/spreadsheetml/2006/main" uniqueCount="12">
  <si>
    <t>Tableau final</t>
  </si>
  <si>
    <t>tube</t>
  </si>
  <si>
    <r>
      <rPr>
        <b val="1"/>
        <sz val="10"/>
        <color indexed="8"/>
        <rFont val="Avenir Next Regular"/>
      </rPr>
      <t>V</t>
    </r>
    <r>
      <rPr>
        <b val="1"/>
        <vertAlign val="subscript"/>
        <sz val="10"/>
        <color indexed="8"/>
        <rFont val="Avenir Next Regular"/>
      </rPr>
      <t>A</t>
    </r>
    <r>
      <rPr>
        <b val="1"/>
        <sz val="10"/>
        <color indexed="8"/>
        <rFont val="Avenir Next Regular"/>
      </rPr>
      <t xml:space="preserve"> (mL)</t>
    </r>
  </si>
  <si>
    <r>
      <rPr>
        <b val="1"/>
        <sz val="10"/>
        <color indexed="8"/>
        <rFont val="Avenir Next Regular"/>
      </rPr>
      <t>V</t>
    </r>
    <r>
      <rPr>
        <b val="1"/>
        <vertAlign val="subscript"/>
        <sz val="10"/>
        <color indexed="8"/>
        <rFont val="Avenir Next Regular"/>
      </rPr>
      <t>B</t>
    </r>
    <r>
      <rPr>
        <b val="1"/>
        <sz val="10"/>
        <color indexed="8"/>
        <rFont val="Avenir Next Regular"/>
      </rPr>
      <t xml:space="preserve"> (mL)</t>
    </r>
  </si>
  <si>
    <r>
      <rPr>
        <b val="1"/>
        <sz val="10"/>
        <color indexed="8"/>
        <rFont val="Avenir Next Regular"/>
      </rPr>
      <t>V</t>
    </r>
    <r>
      <rPr>
        <b val="1"/>
        <vertAlign val="subscript"/>
        <sz val="10"/>
        <color indexed="8"/>
        <rFont val="Avenir Next Regular"/>
      </rPr>
      <t>eau</t>
    </r>
    <r>
      <rPr>
        <b val="1"/>
        <sz val="10"/>
        <color indexed="8"/>
        <rFont val="Avenir Next Regular"/>
      </rPr>
      <t xml:space="preserve"> (mL)</t>
    </r>
  </si>
  <si>
    <t>A</t>
  </si>
  <si>
    <r>
      <rPr>
        <b val="1"/>
        <sz val="10"/>
        <color indexed="8"/>
        <rFont val="Avenir Next Regular"/>
      </rPr>
      <t>[Fe</t>
    </r>
    <r>
      <rPr>
        <b val="1"/>
        <vertAlign val="superscript"/>
        <sz val="10"/>
        <color indexed="8"/>
        <rFont val="Avenir Next Regular"/>
      </rPr>
      <t>3+</t>
    </r>
    <r>
      <rPr>
        <b val="1"/>
        <sz val="10"/>
        <color indexed="8"/>
        <rFont val="Avenir Next Regular"/>
      </rPr>
      <t>]</t>
    </r>
    <r>
      <rPr>
        <b val="1"/>
        <vertAlign val="subscript"/>
        <sz val="10"/>
        <color indexed="8"/>
        <rFont val="Avenir Next Regular"/>
      </rPr>
      <t>i</t>
    </r>
    <r>
      <rPr>
        <b val="1"/>
        <sz val="10"/>
        <color indexed="8"/>
        <rFont val="Avenir Next Regular"/>
      </rPr>
      <t xml:space="preserve">  (molL</t>
    </r>
    <r>
      <rPr>
        <b val="1"/>
        <vertAlign val="superscript"/>
        <sz val="10"/>
        <color indexed="8"/>
        <rFont val="Avenir Next Regular"/>
      </rPr>
      <t>-1</t>
    </r>
    <r>
      <rPr>
        <b val="1"/>
        <sz val="10"/>
        <color indexed="8"/>
        <rFont val="Avenir Next Regular"/>
      </rPr>
      <t>)</t>
    </r>
  </si>
  <si>
    <r>
      <rPr>
        <b val="1"/>
        <sz val="10"/>
        <color indexed="8"/>
        <rFont val="Avenir Next Regular"/>
      </rPr>
      <t>[SCN-]</t>
    </r>
    <r>
      <rPr>
        <b val="1"/>
        <vertAlign val="subscript"/>
        <sz val="10"/>
        <color indexed="8"/>
        <rFont val="Avenir Next Regular"/>
      </rPr>
      <t xml:space="preserve">i
</t>
    </r>
    <r>
      <rPr>
        <b val="1"/>
        <sz val="10"/>
        <color indexed="8"/>
        <rFont val="Avenir Next Regular"/>
      </rPr>
      <t>(molL</t>
    </r>
    <r>
      <rPr>
        <b val="1"/>
        <vertAlign val="superscript"/>
        <sz val="10"/>
        <color indexed="8"/>
        <rFont val="Avenir Next Regular"/>
      </rPr>
      <t>-1</t>
    </r>
    <r>
      <rPr>
        <b val="1"/>
        <sz val="10"/>
        <color indexed="8"/>
        <rFont val="Avenir Next Regular"/>
      </rPr>
      <t>)</t>
    </r>
  </si>
  <si>
    <r>
      <rPr>
        <b val="1"/>
        <sz val="10"/>
        <color indexed="8"/>
        <rFont val="Avenir Next Regular"/>
      </rPr>
      <t>[FeSCN</t>
    </r>
    <r>
      <rPr>
        <b val="1"/>
        <vertAlign val="superscript"/>
        <sz val="10"/>
        <color indexed="8"/>
        <rFont val="Avenir Next Regular"/>
      </rPr>
      <t>2+</t>
    </r>
    <r>
      <rPr>
        <b val="1"/>
        <sz val="10"/>
        <color indexed="8"/>
        <rFont val="Avenir Next Regular"/>
      </rPr>
      <t>]</t>
    </r>
    <r>
      <rPr>
        <b val="1"/>
        <vertAlign val="subscript"/>
        <sz val="10"/>
        <color indexed="8"/>
        <rFont val="Avenir Next Regular"/>
      </rPr>
      <t xml:space="preserve">f
</t>
    </r>
    <r>
      <rPr>
        <b val="1"/>
        <sz val="10"/>
        <color indexed="8"/>
        <rFont val="Avenir Next Regular"/>
      </rPr>
      <t>(molL</t>
    </r>
    <r>
      <rPr>
        <b val="1"/>
        <vertAlign val="superscript"/>
        <sz val="10"/>
        <color indexed="8"/>
        <rFont val="Avenir Next Regular"/>
      </rPr>
      <t>-1</t>
    </r>
    <r>
      <rPr>
        <b val="1"/>
        <sz val="10"/>
        <color indexed="8"/>
        <rFont val="Avenir Next Regular"/>
      </rPr>
      <t>)</t>
    </r>
  </si>
  <si>
    <r>
      <rPr>
        <b val="1"/>
        <sz val="10"/>
        <color indexed="8"/>
        <rFont val="Avenir Next Regular"/>
      </rPr>
      <t>[Fe</t>
    </r>
    <r>
      <rPr>
        <b val="1"/>
        <vertAlign val="superscript"/>
        <sz val="10"/>
        <color indexed="8"/>
        <rFont val="Avenir Next Regular"/>
      </rPr>
      <t>3+</t>
    </r>
    <r>
      <rPr>
        <b val="1"/>
        <sz val="10"/>
        <color indexed="8"/>
        <rFont val="Avenir Next Regular"/>
      </rPr>
      <t>]</t>
    </r>
    <r>
      <rPr>
        <b val="1"/>
        <vertAlign val="subscript"/>
        <sz val="10"/>
        <color indexed="8"/>
        <rFont val="Avenir Next Regular"/>
      </rPr>
      <t>f</t>
    </r>
    <r>
      <rPr>
        <b val="1"/>
        <sz val="10"/>
        <color indexed="8"/>
        <rFont val="Avenir Next Regular"/>
      </rPr>
      <t xml:space="preserve">  (molL</t>
    </r>
    <r>
      <rPr>
        <b val="1"/>
        <vertAlign val="superscript"/>
        <sz val="10"/>
        <color indexed="8"/>
        <rFont val="Avenir Next Regular"/>
      </rPr>
      <t>-1</t>
    </r>
    <r>
      <rPr>
        <b val="1"/>
        <sz val="10"/>
        <color indexed="8"/>
        <rFont val="Avenir Next Regular"/>
      </rPr>
      <t>)</t>
    </r>
  </si>
  <si>
    <r>
      <rPr>
        <b val="1"/>
        <sz val="10"/>
        <color indexed="8"/>
        <rFont val="Avenir Next Regular"/>
      </rPr>
      <t>[SCN</t>
    </r>
    <r>
      <rPr>
        <b val="1"/>
        <vertAlign val="superscript"/>
        <sz val="10"/>
        <color indexed="8"/>
        <rFont val="Avenir Next Regular"/>
      </rPr>
      <t>-</t>
    </r>
    <r>
      <rPr>
        <b val="1"/>
        <sz val="10"/>
        <color indexed="8"/>
        <rFont val="Avenir Next Regular"/>
      </rPr>
      <t>]</t>
    </r>
    <r>
      <rPr>
        <b val="1"/>
        <vertAlign val="subscript"/>
        <sz val="10"/>
        <color indexed="8"/>
        <rFont val="Avenir Next Regular"/>
      </rPr>
      <t xml:space="preserve">f
</t>
    </r>
    <r>
      <rPr>
        <b val="1"/>
        <sz val="10"/>
        <color indexed="8"/>
        <rFont val="Avenir Next Regular"/>
      </rPr>
      <t>(molL</t>
    </r>
    <r>
      <rPr>
        <b val="1"/>
        <vertAlign val="superscript"/>
        <sz val="10"/>
        <color indexed="8"/>
        <rFont val="Avenir Next Regular"/>
      </rPr>
      <t>-1</t>
    </r>
    <r>
      <rPr>
        <b val="1"/>
        <sz val="10"/>
        <color indexed="8"/>
        <rFont val="Avenir Next Regular"/>
      </rPr>
      <t>)</t>
    </r>
  </si>
  <si>
    <r>
      <rPr>
        <b val="1"/>
        <sz val="10"/>
        <color indexed="8"/>
        <rFont val="Avenir Next Regular"/>
      </rPr>
      <t>Q</t>
    </r>
    <r>
      <rPr>
        <b val="1"/>
        <vertAlign val="subscript"/>
        <sz val="10"/>
        <color indexed="8"/>
        <rFont val="Avenir Next Regular"/>
      </rPr>
      <t>r,f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</si>
</sst>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Avenir Next Regular"/>
    </font>
    <font>
      <b val="1"/>
      <vertAlign val="subscript"/>
      <sz val="10"/>
      <color indexed="8"/>
      <name val="Avenir Next Regular"/>
    </font>
    <font>
      <sz val="10"/>
      <color indexed="8"/>
      <name val="Avenir Next Regular"/>
    </font>
    <font>
      <b val="1"/>
      <vertAlign val="superscript"/>
      <sz val="10"/>
      <color indexed="8"/>
      <name val="Avenir Next Regular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center" wrapText="1"/>
    </xf>
    <xf numFmtId="0" fontId="2" fillId="2" borderId="1" applyNumberFormat="1" applyFont="1" applyFill="1" applyBorder="1" applyAlignment="1" applyProtection="0">
      <alignment horizontal="center" vertical="center" wrapText="1"/>
    </xf>
    <xf numFmtId="49" fontId="2" fillId="3" borderId="2" applyNumberFormat="1" applyFont="1" applyFill="1" applyBorder="1" applyAlignment="1" applyProtection="0">
      <alignment horizontal="center" vertical="center" wrapText="1"/>
    </xf>
    <xf numFmtId="0" fontId="4" borderId="3" applyNumberFormat="1" applyFont="1" applyFill="0" applyBorder="1" applyAlignment="1" applyProtection="0">
      <alignment horizontal="center" vertical="center" wrapText="1"/>
    </xf>
    <xf numFmtId="0" fontId="4" borderId="4" applyNumberFormat="1" applyFont="1" applyFill="0" applyBorder="1" applyAlignment="1" applyProtection="0">
      <alignment horizontal="center" vertical="center" wrapText="1"/>
    </xf>
    <xf numFmtId="49" fontId="2" fillId="3" borderId="5" applyNumberFormat="1" applyFont="1" applyFill="1" applyBorder="1" applyAlignment="1" applyProtection="0">
      <alignment horizontal="center" vertical="center" wrapText="1"/>
    </xf>
    <xf numFmtId="0" fontId="4" borderId="6" applyNumberFormat="1" applyFont="1" applyFill="0" applyBorder="1" applyAlignment="1" applyProtection="0">
      <alignment horizontal="center" vertical="center" wrapText="1"/>
    </xf>
    <xf numFmtId="0" fontId="4" borderId="7" applyNumberFormat="1" applyFont="1" applyFill="0" applyBorder="1" applyAlignment="1" applyProtection="0">
      <alignment horizontal="center" vertical="center" wrapText="1"/>
    </xf>
    <xf numFmtId="0" fontId="4" borderId="6" applyNumberFormat="0" applyFont="1" applyFill="0" applyBorder="1" applyAlignment="1" applyProtection="0">
      <alignment horizontal="center" vertical="center" wrapText="1"/>
    </xf>
    <xf numFmtId="0" fontId="4" borderId="7" applyNumberFormat="0" applyFont="1" applyFill="0" applyBorder="1" applyAlignment="1" applyProtection="0">
      <alignment horizontal="center" vertical="center" wrapText="1"/>
    </xf>
    <xf numFmtId="11" fontId="4" borderId="6" applyNumberFormat="1" applyFont="1" applyFill="0" applyBorder="1" applyAlignment="1" applyProtection="0">
      <alignment horizontal="center" vertical="center" wrapText="1"/>
    </xf>
    <xf numFmtId="11" fontId="4" borderId="7" applyNumberFormat="1" applyFont="1" applyFill="0" applyBorder="1" applyAlignment="1" applyProtection="0">
      <alignment horizontal="center" vertical="center" wrapText="1"/>
    </xf>
    <xf numFmtId="49" fontId="2" fillId="3" borderId="7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e2e4e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F1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1" customWidth="1"/>
    <col min="7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2.55" customHeight="1">
      <c r="A2" t="s" s="3">
        <v>1</v>
      </c>
      <c r="B2" s="4">
        <v>1</v>
      </c>
      <c r="C2" s="4">
        <v>2</v>
      </c>
      <c r="D2" s="4">
        <v>3</v>
      </c>
      <c r="E2" s="4">
        <v>4</v>
      </c>
      <c r="F2" s="4">
        <v>5</v>
      </c>
    </row>
    <row r="3" ht="22.55" customHeight="1">
      <c r="A3" t="s" s="5">
        <v>2</v>
      </c>
      <c r="B3" s="6">
        <v>5</v>
      </c>
      <c r="C3" s="7">
        <v>5</v>
      </c>
      <c r="D3" s="7">
        <v>5</v>
      </c>
      <c r="E3" s="7">
        <v>5</v>
      </c>
      <c r="F3" s="7">
        <v>5</v>
      </c>
    </row>
    <row r="4" ht="22.35" customHeight="1">
      <c r="A4" t="s" s="8">
        <v>3</v>
      </c>
      <c r="B4" s="9">
        <v>7</v>
      </c>
      <c r="C4" s="10">
        <v>6</v>
      </c>
      <c r="D4" s="10">
        <v>5</v>
      </c>
      <c r="E4" s="10">
        <v>4</v>
      </c>
      <c r="F4" s="10">
        <v>3</v>
      </c>
    </row>
    <row r="5" ht="22.35" customHeight="1">
      <c r="A5" t="s" s="8">
        <v>4</v>
      </c>
      <c r="B5" s="9">
        <v>3</v>
      </c>
      <c r="C5" s="10">
        <v>4</v>
      </c>
      <c r="D5" s="10">
        <v>5</v>
      </c>
      <c r="E5" s="10">
        <v>6</v>
      </c>
      <c r="F5" s="10">
        <v>7</v>
      </c>
    </row>
    <row r="6" ht="22.35" customHeight="1">
      <c r="A6" t="s" s="8">
        <v>5</v>
      </c>
      <c r="B6" s="11"/>
      <c r="C6" s="12"/>
      <c r="D6" s="12"/>
      <c r="E6" s="12"/>
      <c r="F6" s="12"/>
    </row>
    <row r="7" ht="36.35" customHeight="1">
      <c r="A7" t="s" s="8">
        <v>6</v>
      </c>
      <c r="B7" s="13" cm="1">
        <f t="array" ref="B7">2*10^(-3)*B3/(B3+B4+B5)</f>
        <v>0.000666666666666667</v>
      </c>
      <c r="C7" s="14" cm="1">
        <f t="array" ref="C7">2*10^(-3)*C3/(C3+C4+C5)</f>
        <v>0.000666666666666667</v>
      </c>
      <c r="D7" s="14" cm="1">
        <f t="array" ref="D7">2*10^(-3)*D3/(D3+D4+D5)</f>
        <v>0.000666666666666667</v>
      </c>
      <c r="E7" s="14" cm="1">
        <f t="array" ref="E7">2*10^(-3)*E3/(E3+E4+E5)</f>
        <v>0.000666666666666667</v>
      </c>
      <c r="F7" s="14" cm="1">
        <f t="array" ref="F7">2*10^(-3)*F3/(F3+F4+F5)</f>
        <v>0.000666666666666667</v>
      </c>
    </row>
    <row r="8" ht="36.35" customHeight="1">
      <c r="A8" t="s" s="8">
        <v>7</v>
      </c>
      <c r="B8" s="13" cm="1">
        <f t="array" ref="B8">2*10^(-3)*B4/(B4+B3+B5)</f>
        <v>0.000933333333333333</v>
      </c>
      <c r="C8" s="14" cm="1">
        <f t="array" ref="C8">2*10^(-3)*C4/(C4+C3+C5)</f>
        <v>0.0008</v>
      </c>
      <c r="D8" s="14" cm="1">
        <f t="array" ref="D8">2*10^(-3)*D4/(D4+D3+D5)</f>
        <v>0.000666666666666667</v>
      </c>
      <c r="E8" s="14" cm="1">
        <f t="array" ref="E8">2*10^(-3)*E4/(E4+E3+E5)</f>
        <v>0.000533333333333333</v>
      </c>
      <c r="F8" s="14" cm="1">
        <f t="array" ref="F8">2*10^(-3)*F4/(F4+F3+F5)</f>
        <v>0.0004</v>
      </c>
    </row>
    <row r="9" ht="36.35" customHeight="1">
      <c r="A9" t="s" s="8">
        <v>8</v>
      </c>
      <c r="B9" s="13"/>
      <c r="C9" s="14"/>
      <c r="D9" s="14"/>
      <c r="E9" s="14"/>
      <c r="F9" s="14"/>
    </row>
    <row r="10" ht="36.35" customHeight="1">
      <c r="A10" t="s" s="8">
        <v>9</v>
      </c>
      <c r="B10" s="13" cm="1">
        <f t="array" ref="B10">B7-B9</f>
        <v>0.000666666666666667</v>
      </c>
      <c r="C10" s="14" cm="1">
        <f t="array" ref="C10">C7-C9</f>
        <v>0.000666666666666667</v>
      </c>
      <c r="D10" s="14" cm="1">
        <f t="array" ref="D10">D7-D9</f>
        <v>0.000666666666666667</v>
      </c>
      <c r="E10" s="14" cm="1">
        <f t="array" ref="E10">E7-E9</f>
        <v>0.000666666666666667</v>
      </c>
      <c r="F10" s="14" cm="1">
        <f t="array" ref="F10">F7-F9</f>
        <v>0.000666666666666667</v>
      </c>
    </row>
    <row r="11" ht="36.35" customHeight="1">
      <c r="A11" t="s" s="8">
        <v>10</v>
      </c>
      <c r="B11" s="13" cm="1">
        <f t="array" ref="B11">B8-B9</f>
        <v>0.000933333333333333</v>
      </c>
      <c r="C11" s="14" cm="1">
        <f t="array" ref="C11">C8-C9</f>
        <v>0.0008</v>
      </c>
      <c r="D11" s="14" cm="1">
        <f t="array" ref="D11">D8-D9</f>
        <v>0.000666666666666667</v>
      </c>
      <c r="E11" s="14" cm="1">
        <f t="array" ref="E11">E8-E9</f>
        <v>0.000533333333333333</v>
      </c>
      <c r="F11" s="14" cm="1">
        <f t="array" ref="F11">F8-F9</f>
        <v>0.0004</v>
      </c>
    </row>
    <row r="12" ht="22.35" customHeight="1">
      <c r="A12" t="s" s="15">
        <v>11</v>
      </c>
      <c r="B12" s="14" cm="1">
        <f t="array" ref="B12">B9/(B10*B11)</f>
        <v>0</v>
      </c>
      <c r="C12" s="14" cm="1">
        <f t="array" ref="C12">C9/(C10*C11)</f>
        <v>0</v>
      </c>
      <c r="D12" s="14" cm="1">
        <f t="array" ref="D12">D9/(D10*D11)</f>
        <v>0</v>
      </c>
      <c r="E12" s="14" cm="1">
        <f t="array" ref="E12">E9/(E10*E11)</f>
        <v>0</v>
      </c>
      <c r="F12" s="14" cm="1">
        <f t="array" ref="F12">F9/(F10*F11)</f>
        <v>0</v>
      </c>
    </row>
  </sheetData>
  <mergeCells count="1">
    <mergeCell ref="A1:F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